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EG Stammdaten" sheetId="1" state="visible" r:id="rId2"/>
    <sheet name="Historie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<sst xmlns="http://schemas.openxmlformats.org/spreadsheetml/2006/main" count="295" uniqueCount="123">
  <si>
    <t xml:space="preserve">[### Leerzeile für Importer ###]</t>
  </si>
  <si>
    <t xml:space="preserve">Vorname od. Firmenname</t>
  </si>
  <si>
    <t xml:space="preserve">Nachname</t>
  </si>
  <si>
    <t xml:space="preserve">Werte: 
privat od business Default: privat</t>
  </si>
  <si>
    <t xml:space="preserve">Steuernummer des Mitglieds</t>
  </si>
  <si>
    <t xml:space="preserve">String</t>
  </si>
  <si>
    <r>
      <rPr>
        <sz val="10"/>
        <rFont val="Arial"/>
        <family val="2"/>
        <charset val="1"/>
      </rPr>
      <t xml:space="preserve">Es werden nur Zählpunkte übernommen mit Status ACTIVATED od REGISTERED.
Für </t>
    </r>
    <r>
      <rPr>
        <b val="true"/>
        <sz val="10"/>
        <rFont val="Arial"/>
        <family val="2"/>
        <charset val="1"/>
      </rPr>
      <t xml:space="preserve">ONLINE</t>
    </r>
    <r>
      <rPr>
        <sz val="10"/>
        <rFont val="Arial"/>
        <family val="2"/>
        <charset val="1"/>
      </rPr>
      <t xml:space="preserve"> EEGs werden nur NEW berücksichtigt</t>
    </r>
  </si>
  <si>
    <r>
      <rPr>
        <sz val="10"/>
        <rFont val="Arial"/>
        <family val="2"/>
        <charset val="1"/>
      </rPr>
      <t xml:space="preserve">String: 
&lt;tag&gt;.&lt;monat&gt;.&lt;jahr&gt;
Bsp:
1.1.2023
Für </t>
    </r>
    <r>
      <rPr>
        <b val="true"/>
        <sz val="10"/>
        <rFont val="Arial"/>
        <family val="2"/>
        <charset val="1"/>
      </rPr>
      <t xml:space="preserve">ONLINE</t>
    </r>
    <r>
      <rPr>
        <sz val="10"/>
        <rFont val="Arial"/>
        <family val="2"/>
        <charset val="1"/>
      </rPr>
      <t xml:space="preserve"> EEGs wird  das Importdatum verwendet.</t>
    </r>
  </si>
  <si>
    <t xml:space="preserve">Erforderlich</t>
  </si>
  <si>
    <t xml:space="preserve">Netzbetreiber</t>
  </si>
  <si>
    <t xml:space="preserve">Gemeinschafts-ID</t>
  </si>
  <si>
    <t xml:space="preserve">Ortsgebiet</t>
  </si>
  <si>
    <t xml:space="preserve">PLZ</t>
  </si>
  <si>
    <t xml:space="preserve">Ort</t>
  </si>
  <si>
    <t xml:space="preserve">Straße</t>
  </si>
  <si>
    <t xml:space="preserve">Hausnummer</t>
  </si>
  <si>
    <t xml:space="preserve">Stiege</t>
  </si>
  <si>
    <t xml:space="preserve">Stock</t>
  </si>
  <si>
    <t xml:space="preserve">Tür</t>
  </si>
  <si>
    <t xml:space="preserve">Adresszusatz</t>
  </si>
  <si>
    <t xml:space="preserve">Zählpunkt</t>
  </si>
  <si>
    <t xml:space="preserve">Energierichtung</t>
  </si>
  <si>
    <t xml:space="preserve">EquipmentNr</t>
  </si>
  <si>
    <t xml:space="preserve">ObjektName</t>
  </si>
  <si>
    <t xml:space="preserve">Überschusseinspeisung</t>
  </si>
  <si>
    <t xml:space="preserve">Energiequelle</t>
  </si>
  <si>
    <t xml:space="preserve">Verteilungsmodell</t>
  </si>
  <si>
    <t xml:space="preserve">Zugeteilte Menge in Prozent</t>
  </si>
  <si>
    <t xml:space="preserve">TitelVor</t>
  </si>
  <si>
    <t xml:space="preserve">Name 1</t>
  </si>
  <si>
    <t xml:space="preserve">Name 2</t>
  </si>
  <si>
    <t xml:space="preserve">TitelNach</t>
  </si>
  <si>
    <t xml:space="preserve">BusinessRole</t>
  </si>
  <si>
    <t xml:space="preserve">IBAN</t>
  </si>
  <si>
    <t xml:space="preserve">Kontoinhaber</t>
  </si>
  <si>
    <t xml:space="preserve">email</t>
  </si>
  <si>
    <t xml:space="preserve">SteuerNr</t>
  </si>
  <si>
    <t xml:space="preserve">MitgliedsNr</t>
  </si>
  <si>
    <t xml:space="preserve">Zählpunktstatus</t>
  </si>
  <si>
    <t xml:space="preserve">Meter Codes</t>
  </si>
  <si>
    <t xml:space="preserve">registriert seit</t>
  </si>
  <si>
    <t xml:space="preserve">AT009999</t>
  </si>
  <si>
    <t xml:space="preserve">AT00999900000TC100200000000000002</t>
  </si>
  <si>
    <t xml:space="preserve">REGIONAL</t>
  </si>
  <si>
    <t xml:space="preserve">1111</t>
  </si>
  <si>
    <t xml:space="preserve">Solarcity</t>
  </si>
  <si>
    <t xml:space="preserve">Solargasse</t>
  </si>
  <si>
    <t xml:space="preserve">37</t>
  </si>
  <si>
    <t xml:space="preserve">AT0099990000000000000000000020100</t>
  </si>
  <si>
    <t xml:space="preserve">CONSUMPTION</t>
  </si>
  <si>
    <t xml:space="preserve">ZP001</t>
  </si>
  <si>
    <t xml:space="preserve">POOLED</t>
  </si>
  <si>
    <t xml:space="preserve">SONNE</t>
  </si>
  <si>
    <t xml:space="preserve">DYNAMIC</t>
  </si>
  <si>
    <t xml:space="preserve">Max</t>
  </si>
  <si>
    <t xml:space="preserve">Mustermann</t>
  </si>
  <si>
    <t xml:space="preserve">privat</t>
  </si>
  <si>
    <t xml:space="preserve">Atxxaaaabbbbccccdddd</t>
  </si>
  <si>
    <t xml:space="preserve">001-9876</t>
  </si>
  <si>
    <t xml:space="preserve">001</t>
  </si>
  <si>
    <t xml:space="preserve">ACTIVATED</t>
  </si>
  <si>
    <t xml:space="preserve">1-1:1.9.0 G.01,1-1:2.9.0 G.02,1-1:2.9.0 G.03</t>
  </si>
  <si>
    <t xml:space="preserve">1.1.2023</t>
  </si>
  <si>
    <t xml:space="preserve">Baumallee</t>
  </si>
  <si>
    <t xml:space="preserve">AT0000000000000000000000000000001</t>
  </si>
  <si>
    <t xml:space="preserve">GENERATION</t>
  </si>
  <si>
    <t xml:space="preserve">ZP002</t>
  </si>
  <si>
    <t xml:space="preserve">Ingrid</t>
  </si>
  <si>
    <t xml:space="preserve">Thatcher</t>
  </si>
  <si>
    <t xml:space="preserve">002</t>
  </si>
  <si>
    <t xml:space="preserve">1-1:2.9.0 G.01,1-1:2.9.0 P.01</t>
  </si>
  <si>
    <t xml:space="preserve">Panelpatz</t>
  </si>
  <si>
    <t xml:space="preserve">35</t>
  </si>
  <si>
    <t xml:space="preserve">AT0099990000000000000000000020102</t>
  </si>
  <si>
    <t xml:space="preserve">ZP003</t>
  </si>
  <si>
    <t xml:space="preserve">Ing.</t>
  </si>
  <si>
    <t xml:space="preserve">Richard</t>
  </si>
  <si>
    <t xml:space="preserve">Finnegan</t>
  </si>
  <si>
    <t xml:space="preserve">001-3456</t>
  </si>
  <si>
    <t xml:space="preserve">003</t>
  </si>
  <si>
    <t xml:space="preserve">AT0000000000000000000000000000003</t>
  </si>
  <si>
    <t xml:space="preserve">ZP004</t>
  </si>
  <si>
    <t xml:space="preserve">Schutzgebiet</t>
  </si>
  <si>
    <t xml:space="preserve">70</t>
  </si>
  <si>
    <t xml:space="preserve">AT0099990000000000000000000020104</t>
  </si>
  <si>
    <t xml:space="preserve">ZP005</t>
  </si>
  <si>
    <t xml:space="preserve">Silvia</t>
  </si>
  <si>
    <t xml:space="preserve">Beckett</t>
  </si>
  <si>
    <t xml:space="preserve">005</t>
  </si>
  <si>
    <t xml:space="preserve">Erholpatz</t>
  </si>
  <si>
    <t xml:space="preserve">22</t>
  </si>
  <si>
    <t xml:space="preserve">AT0099990000000000000000000020105</t>
  </si>
  <si>
    <t xml:space="preserve">ZP006</t>
  </si>
  <si>
    <t xml:space="preserve">Josef</t>
  </si>
  <si>
    <t xml:space="preserve">Wilson</t>
  </si>
  <si>
    <t xml:space="preserve">006</t>
  </si>
  <si>
    <t xml:space="preserve">Picknickstraße</t>
  </si>
  <si>
    <t xml:space="preserve">AT0000000000000000000000000000006</t>
  </si>
  <si>
    <t xml:space="preserve">ZP007</t>
  </si>
  <si>
    <t xml:space="preserve">Innenhof</t>
  </si>
  <si>
    <t xml:space="preserve">24</t>
  </si>
  <si>
    <t xml:space="preserve">AT0000000000000000000000000000007</t>
  </si>
  <si>
    <t xml:space="preserve">ZP008</t>
  </si>
  <si>
    <t xml:space="preserve">Rosa</t>
  </si>
  <si>
    <t xml:space="preserve">Crassus</t>
  </si>
  <si>
    <t xml:space="preserve">001-1234</t>
  </si>
  <si>
    <t xml:space="preserve">008</t>
  </si>
  <si>
    <t xml:space="preserve">NEW</t>
  </si>
  <si>
    <t xml:space="preserve">AT0099990000000000000000000020108</t>
  </si>
  <si>
    <t xml:space="preserve">ZP009</t>
  </si>
  <si>
    <t xml:space="preserve">Gemeinschaftsplatz</t>
  </si>
  <si>
    <t xml:space="preserve">23</t>
  </si>
  <si>
    <t xml:space="preserve">AT0099990000000000000000030020109</t>
  </si>
  <si>
    <t xml:space="preserve">ZP010</t>
  </si>
  <si>
    <t xml:space="preserve">Ronald</t>
  </si>
  <si>
    <t xml:space="preserve">Hendrix</t>
  </si>
  <si>
    <t xml:space="preserve">010</t>
  </si>
  <si>
    <t xml:space="preserve">AT0099990000000000000000000020110</t>
  </si>
  <si>
    <t xml:space="preserve">ZP011</t>
  </si>
  <si>
    <t xml:space="preserve">Zeitpunkt</t>
  </si>
  <si>
    <t xml:space="preserve">Benutzer</t>
  </si>
  <si>
    <t xml:space="preserve">Prozess</t>
  </si>
  <si>
    <t xml:space="preserve">Änderungen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</si>
</sst>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1"/>
      <name val="Calibri"/>
      <family val="0"/>
      <charset val="1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10.83984375" defaultRowHeight="12.8" zeroHeight="false" outlineLevelRow="0" outlineLevelCol="0"/>
  <cols>
    <col collapsed="false" customWidth="true" hidden="false" outlineLevel="0" max="1" min="1" style="0" width="37.16"/>
    <col collapsed="false" customWidth="true" hidden="false" outlineLevel="0" max="2" min="2" style="0" width="34.47"/>
    <col collapsed="false" customWidth="true" hidden="false" outlineLevel="0" max="3" min="3" style="0" width="13.5"/>
    <col collapsed="false" customWidth="true" hidden="false" outlineLevel="0" max="4" min="4" style="0" width="5.3"/>
    <col collapsed="false" customWidth="true" hidden="false" outlineLevel="0" max="5" min="5" style="0" width="22.55"/>
    <col collapsed="false" customWidth="true" hidden="false" outlineLevel="0" max="6" min="6" style="0" width="25.28"/>
    <col collapsed="false" customWidth="true" hidden="false" outlineLevel="0" max="7" min="7" style="0" width="16.91"/>
    <col collapsed="false" customWidth="true" hidden="false" outlineLevel="0" max="8" min="8" style="0" width="8.39"/>
    <col collapsed="false" customWidth="true" hidden="false" outlineLevel="0" max="9" min="9" style="0" width="7.58"/>
    <col collapsed="false" customWidth="true" hidden="false" outlineLevel="0" max="10" min="10" style="0" width="5.16"/>
    <col collapsed="false" customWidth="true" hidden="false" outlineLevel="0" max="11" min="11" style="0" width="16.22"/>
    <col collapsed="false" customWidth="true" hidden="false" outlineLevel="0" max="12" min="12" style="0" width="46.82"/>
    <col collapsed="false" customWidth="true" hidden="false" outlineLevel="0" max="13" min="13" style="0" width="19.51"/>
    <col collapsed="false" customWidth="true" hidden="false" outlineLevel="0" max="16" min="14" style="0" width="28.11"/>
    <col collapsed="false" customWidth="true" hidden="false" outlineLevel="0" max="17" min="17" style="0" width="17.07"/>
    <col collapsed="false" customWidth="true" hidden="false" outlineLevel="0" max="18" min="18" style="0" width="22.46"/>
    <col collapsed="false" customWidth="true" hidden="false" outlineLevel="0" max="19" min="19" style="0" width="33.89"/>
    <col collapsed="false" customWidth="true" hidden="false" outlineLevel="0" max="20" min="20" style="0" width="10.12"/>
    <col collapsed="false" customWidth="true" hidden="false" outlineLevel="0" max="21" min="21" style="0" width="11.25"/>
    <col collapsed="false" customWidth="true" hidden="false" outlineLevel="0" max="22" min="22" style="0" width="16.26"/>
    <col collapsed="false" customWidth="true" hidden="false" outlineLevel="0" max="24" min="23" style="0" width="19.94"/>
    <col collapsed="false" customWidth="true" hidden="false" outlineLevel="0" max="27" min="25" style="0" width="30.84"/>
    <col collapsed="false" customWidth="true" hidden="false" outlineLevel="0" max="30" min="28" style="0" width="19.94"/>
    <col collapsed="false" customWidth="true" hidden="false" outlineLevel="0" max="31" min="31" style="0" width="16.07"/>
    <col collapsed="false" customWidth="true" hidden="false" outlineLevel="0" max="32" min="32" style="0" width="19.77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0</v>
      </c>
    </row>
    <row r="3" customFormat="false" ht="7.45" hidden="false" customHeight="true" outlineLevel="0" collapsed="false">
      <c r="A3" s="0" t="s">
        <v>0</v>
      </c>
    </row>
    <row r="4" customFormat="false" ht="111.15" hidden="false" customHeight="true" outlineLevel="0" collapsed="false">
      <c r="A4" s="0" t="s">
        <v>0</v>
      </c>
      <c r="U4" s="1" t="s">
        <v>1</v>
      </c>
      <c r="V4" s="0" t="s">
        <v>2</v>
      </c>
      <c r="X4" s="1" t="s">
        <v>3</v>
      </c>
      <c r="Y4" s="1"/>
      <c r="Z4" s="1"/>
      <c r="AB4" s="1" t="s">
        <v>4</v>
      </c>
      <c r="AC4" s="0" t="s">
        <v>5</v>
      </c>
      <c r="AD4" s="1" t="s">
        <v>6</v>
      </c>
      <c r="AF4" s="1" t="s">
        <v>7</v>
      </c>
    </row>
    <row r="5" customFormat="false" ht="12.8" hidden="false" customHeight="false" outlineLevel="0" collapsed="false">
      <c r="A5" s="0" t="s">
        <v>0</v>
      </c>
      <c r="B5" s="2" t="s">
        <v>8</v>
      </c>
      <c r="C5" s="2" t="s">
        <v>8</v>
      </c>
      <c r="D5" s="2" t="s">
        <v>8</v>
      </c>
      <c r="E5" s="2" t="s">
        <v>8</v>
      </c>
      <c r="F5" s="2" t="s">
        <v>8</v>
      </c>
      <c r="G5" s="2" t="s">
        <v>8</v>
      </c>
      <c r="L5" s="2" t="s">
        <v>8</v>
      </c>
      <c r="M5" s="2" t="s">
        <v>8</v>
      </c>
      <c r="U5" s="2" t="s">
        <v>8</v>
      </c>
      <c r="V5" s="2" t="s">
        <v>8</v>
      </c>
      <c r="AA5" s="2" t="s">
        <v>8</v>
      </c>
      <c r="AD5" s="2" t="s">
        <v>8</v>
      </c>
    </row>
    <row r="6" customFormat="false" ht="12.8" hidden="false" customHeight="false" outlineLevel="0" collapsed="false">
      <c r="A6" s="0" t="s">
        <v>0</v>
      </c>
    </row>
    <row r="7" customFormat="false" ht="13.8" hidden="false" customHeight="false" outlineLevel="0" collapsed="false">
      <c r="A7" s="3" t="s">
        <v>9</v>
      </c>
      <c r="B7" s="3" t="s">
        <v>10</v>
      </c>
      <c r="C7" s="3" t="s">
        <v>11</v>
      </c>
      <c r="D7" s="3" t="s">
        <v>12</v>
      </c>
      <c r="E7" s="3" t="s">
        <v>13</v>
      </c>
      <c r="F7" s="3" t="s">
        <v>14</v>
      </c>
      <c r="G7" s="3" t="s">
        <v>15</v>
      </c>
      <c r="H7" s="3" t="s">
        <v>16</v>
      </c>
      <c r="I7" s="3" t="s">
        <v>17</v>
      </c>
      <c r="J7" s="3" t="s">
        <v>18</v>
      </c>
      <c r="K7" s="3" t="s">
        <v>19</v>
      </c>
      <c r="L7" s="3" t="s">
        <v>20</v>
      </c>
      <c r="M7" s="3" t="s">
        <v>21</v>
      </c>
      <c r="N7" s="3" t="s">
        <v>22</v>
      </c>
      <c r="O7" s="3" t="s">
        <v>23</v>
      </c>
      <c r="P7" s="3" t="s">
        <v>24</v>
      </c>
      <c r="Q7" s="3" t="s">
        <v>25</v>
      </c>
      <c r="R7" s="3" t="s">
        <v>26</v>
      </c>
      <c r="S7" s="3" t="s">
        <v>27</v>
      </c>
      <c r="T7" s="3" t="s">
        <v>28</v>
      </c>
      <c r="U7" s="3" t="s">
        <v>29</v>
      </c>
      <c r="V7" s="3" t="s">
        <v>30</v>
      </c>
      <c r="W7" s="3" t="s">
        <v>31</v>
      </c>
      <c r="X7" s="3" t="s">
        <v>32</v>
      </c>
      <c r="Y7" s="3" t="s">
        <v>33</v>
      </c>
      <c r="Z7" s="3" t="s">
        <v>34</v>
      </c>
      <c r="AA7" s="3" t="s">
        <v>35</v>
      </c>
      <c r="AB7" s="3" t="s">
        <v>36</v>
      </c>
      <c r="AC7" s="3" t="s">
        <v>37</v>
      </c>
      <c r="AD7" s="3" t="s">
        <v>38</v>
      </c>
      <c r="AE7" s="3" t="s">
        <v>39</v>
      </c>
      <c r="AF7" s="3" t="s">
        <v>40</v>
      </c>
    </row>
    <row r="8" customFormat="false" ht="12.8" hidden="false" customHeight="false" outlineLevel="0" collapsed="false">
      <c r="A8" s="0" t="s">
        <v>0</v>
      </c>
    </row>
    <row r="9" customFormat="false" ht="12.8" hidden="false" customHeight="false" outlineLevel="0" collapsed="false">
      <c r="A9" s="0" t="s">
        <v>0</v>
      </c>
    </row>
    <row r="10" customFormat="false" ht="12.8" hidden="false" customHeight="false" outlineLevel="0" collapsed="false">
      <c r="A10" s="0" t="s">
        <v>41</v>
      </c>
      <c r="B10" s="0" t="s">
        <v>42</v>
      </c>
      <c r="C10" s="0" t="s">
        <v>43</v>
      </c>
      <c r="D10" s="0" t="s">
        <v>44</v>
      </c>
      <c r="E10" s="0" t="s">
        <v>45</v>
      </c>
      <c r="F10" s="0" t="s">
        <v>46</v>
      </c>
      <c r="G10" s="0" t="s">
        <v>47</v>
      </c>
      <c r="L10" s="4" t="s">
        <v>48</v>
      </c>
      <c r="M10" s="0" t="s">
        <v>49</v>
      </c>
      <c r="N10" s="5" t="s">
        <v>50</v>
      </c>
      <c r="P10" s="0" t="s">
        <v>51</v>
      </c>
      <c r="Q10" s="0" t="s">
        <v>52</v>
      </c>
      <c r="R10" s="0" t="s">
        <v>53</v>
      </c>
      <c r="U10" s="0" t="s">
        <v>54</v>
      </c>
      <c r="V10" s="0" t="s">
        <v>55</v>
      </c>
      <c r="X10" s="0" t="s">
        <v>56</v>
      </c>
      <c r="Y10" s="0" t="s">
        <v>57</v>
      </c>
      <c r="Z10" s="0" t="str">
        <f aca="false">_xlfn.CONCAT(U10,".",V10)</f>
        <v>Max.Mustermann</v>
      </c>
      <c r="AA10" s="0" t="str">
        <f aca="false">_xlfn.CONCAT(U10,".",V10,"@eegfaktura.at")</f>
        <v>Max.Mustermann@eegfaktura.at</v>
      </c>
      <c r="AB10" s="0" t="s">
        <v>58</v>
      </c>
      <c r="AC10" s="5" t="s">
        <v>59</v>
      </c>
      <c r="AD10" s="0" t="s">
        <v>60</v>
      </c>
      <c r="AE10" s="0" t="s">
        <v>61</v>
      </c>
      <c r="AF10" s="0" t="s">
        <v>62</v>
      </c>
    </row>
    <row r="11" customFormat="false" ht="12.8" hidden="false" customHeight="false" outlineLevel="0" collapsed="false">
      <c r="A11" s="0" t="s">
        <v>41</v>
      </c>
      <c r="B11" s="0" t="s">
        <v>42</v>
      </c>
      <c r="C11" s="0" t="s">
        <v>43</v>
      </c>
      <c r="D11" s="0" t="s">
        <v>44</v>
      </c>
      <c r="E11" s="0" t="s">
        <v>45</v>
      </c>
      <c r="F11" s="0" t="s">
        <v>63</v>
      </c>
      <c r="G11" s="0" t="s">
        <v>47</v>
      </c>
      <c r="L11" s="0" t="s">
        <v>64</v>
      </c>
      <c r="M11" s="0" t="s">
        <v>65</v>
      </c>
      <c r="N11" s="5" t="s">
        <v>66</v>
      </c>
      <c r="P11" s="0" t="s">
        <v>51</v>
      </c>
      <c r="Q11" s="0" t="s">
        <v>52</v>
      </c>
      <c r="R11" s="0" t="s">
        <v>53</v>
      </c>
      <c r="U11" s="0" t="s">
        <v>67</v>
      </c>
      <c r="V11" s="0" t="s">
        <v>68</v>
      </c>
      <c r="X11" s="6" t="s">
        <v>56</v>
      </c>
      <c r="Y11" s="6"/>
      <c r="Z11" s="0" t="str">
        <f aca="false">_xlfn.CONCAT(U11,".",V11)</f>
        <v>Ingrid.Thatcher</v>
      </c>
      <c r="AA11" s="0" t="str">
        <f aca="false">_xlfn.CONCAT(U11,".",V11,"@eegfaktura.at")</f>
        <v>Ingrid.Thatcher@eegfaktura.at</v>
      </c>
      <c r="AC11" s="5" t="s">
        <v>69</v>
      </c>
      <c r="AD11" s="0" t="s">
        <v>60</v>
      </c>
      <c r="AE11" s="0" t="s">
        <v>70</v>
      </c>
      <c r="AF11" s="0" t="s">
        <v>62</v>
      </c>
    </row>
    <row r="12" customFormat="false" ht="13.8" hidden="false" customHeight="false" outlineLevel="0" collapsed="false">
      <c r="A12" s="0" t="s">
        <v>41</v>
      </c>
      <c r="B12" s="0" t="s">
        <v>42</v>
      </c>
      <c r="C12" s="0" t="s">
        <v>43</v>
      </c>
      <c r="D12" s="0" t="s">
        <v>44</v>
      </c>
      <c r="E12" s="0" t="s">
        <v>45</v>
      </c>
      <c r="F12" s="0" t="s">
        <v>71</v>
      </c>
      <c r="G12" s="0" t="s">
        <v>72</v>
      </c>
      <c r="L12" s="7" t="s">
        <v>73</v>
      </c>
      <c r="M12" s="0" t="s">
        <v>49</v>
      </c>
      <c r="N12" s="5" t="s">
        <v>74</v>
      </c>
      <c r="P12" s="0" t="s">
        <v>51</v>
      </c>
      <c r="Q12" s="0" t="s">
        <v>52</v>
      </c>
      <c r="R12" s="0" t="s">
        <v>53</v>
      </c>
      <c r="T12" s="0" t="s">
        <v>75</v>
      </c>
      <c r="U12" s="0" t="s">
        <v>76</v>
      </c>
      <c r="V12" s="0" t="s">
        <v>77</v>
      </c>
      <c r="X12" s="6" t="s">
        <v>56</v>
      </c>
      <c r="Y12" s="6"/>
      <c r="Z12" s="0" t="str">
        <f aca="false">_xlfn.CONCAT(U12,".",V12)</f>
        <v>Richard.Finnegan</v>
      </c>
      <c r="AA12" s="0" t="str">
        <f aca="false">_xlfn.CONCAT(U12,".",V12,"@eegfaktura.at")</f>
        <v>Richard.Finnegan@eegfaktura.at</v>
      </c>
      <c r="AB12" s="6" t="s">
        <v>78</v>
      </c>
      <c r="AC12" s="5" t="s">
        <v>79</v>
      </c>
      <c r="AD12" s="0" t="s">
        <v>60</v>
      </c>
      <c r="AE12" s="0" t="s">
        <v>61</v>
      </c>
      <c r="AF12" s="0" t="s">
        <v>62</v>
      </c>
    </row>
    <row r="13" customFormat="false" ht="12.8" hidden="false" customHeight="false" outlineLevel="0" collapsed="false">
      <c r="A13" s="0" t="s">
        <v>41</v>
      </c>
      <c r="B13" s="0" t="s">
        <v>42</v>
      </c>
      <c r="C13" s="0" t="s">
        <v>43</v>
      </c>
      <c r="D13" s="0" t="s">
        <v>44</v>
      </c>
      <c r="E13" s="0" t="s">
        <v>45</v>
      </c>
      <c r="F13" s="6" t="s">
        <v>71</v>
      </c>
      <c r="G13" s="0" t="s">
        <v>72</v>
      </c>
      <c r="L13" s="0" t="s">
        <v>80</v>
      </c>
      <c r="M13" s="0" t="s">
        <v>65</v>
      </c>
      <c r="N13" s="5" t="s">
        <v>81</v>
      </c>
      <c r="P13" s="0" t="s">
        <v>51</v>
      </c>
      <c r="Q13" s="0" t="s">
        <v>52</v>
      </c>
      <c r="R13" s="0" t="s">
        <v>53</v>
      </c>
      <c r="T13" s="0" t="s">
        <v>75</v>
      </c>
      <c r="U13" s="0" t="s">
        <v>76</v>
      </c>
      <c r="V13" s="0" t="s">
        <v>77</v>
      </c>
      <c r="X13" s="6" t="s">
        <v>56</v>
      </c>
      <c r="Y13" s="6"/>
      <c r="Z13" s="0" t="str">
        <f aca="false">_xlfn.CONCAT(U13,".",V13)</f>
        <v>Richard.Finnegan</v>
      </c>
      <c r="AA13" s="0" t="str">
        <f aca="false">_xlfn.CONCAT(U13,".",V13,"@eegfaktura.at")</f>
        <v>Richard.Finnegan@eegfaktura.at</v>
      </c>
      <c r="AC13" s="5" t="s">
        <v>79</v>
      </c>
      <c r="AD13" s="0" t="s">
        <v>60</v>
      </c>
      <c r="AE13" s="0" t="s">
        <v>70</v>
      </c>
      <c r="AF13" s="0" t="s">
        <v>62</v>
      </c>
    </row>
    <row r="14" customFormat="false" ht="13.8" hidden="false" customHeight="false" outlineLevel="0" collapsed="false">
      <c r="A14" s="0" t="s">
        <v>41</v>
      </c>
      <c r="B14" s="0" t="s">
        <v>42</v>
      </c>
      <c r="C14" s="0" t="s">
        <v>43</v>
      </c>
      <c r="D14" s="0" t="s">
        <v>44</v>
      </c>
      <c r="E14" s="0" t="s">
        <v>45</v>
      </c>
      <c r="F14" s="0" t="s">
        <v>82</v>
      </c>
      <c r="G14" s="0" t="s">
        <v>83</v>
      </c>
      <c r="L14" s="7" t="s">
        <v>84</v>
      </c>
      <c r="M14" s="0" t="s">
        <v>49</v>
      </c>
      <c r="N14" s="5" t="s">
        <v>85</v>
      </c>
      <c r="P14" s="0" t="s">
        <v>51</v>
      </c>
      <c r="Q14" s="0" t="s">
        <v>52</v>
      </c>
      <c r="R14" s="0" t="s">
        <v>53</v>
      </c>
      <c r="U14" s="0" t="s">
        <v>86</v>
      </c>
      <c r="V14" s="0" t="s">
        <v>87</v>
      </c>
      <c r="X14" s="6" t="s">
        <v>56</v>
      </c>
      <c r="Y14" s="6"/>
      <c r="Z14" s="0" t="str">
        <f aca="false">_xlfn.CONCAT(U14,".",V14)</f>
        <v>Silvia.Beckett</v>
      </c>
      <c r="AA14" s="0" t="str">
        <f aca="false">_xlfn.CONCAT(U14,".",V14,"@eegfaktura.at")</f>
        <v>Silvia.Beckett@eegfaktura.at</v>
      </c>
      <c r="AC14" s="5" t="s">
        <v>88</v>
      </c>
      <c r="AD14" s="0" t="s">
        <v>60</v>
      </c>
      <c r="AE14" s="0" t="s">
        <v>61</v>
      </c>
      <c r="AF14" s="0" t="s">
        <v>62</v>
      </c>
    </row>
    <row r="15" customFormat="false" ht="13.8" hidden="false" customHeight="false" outlineLevel="0" collapsed="false">
      <c r="A15" s="0" t="s">
        <v>41</v>
      </c>
      <c r="B15" s="0" t="s">
        <v>42</v>
      </c>
      <c r="C15" s="0" t="s">
        <v>43</v>
      </c>
      <c r="D15" s="0" t="s">
        <v>44</v>
      </c>
      <c r="E15" s="0" t="s">
        <v>45</v>
      </c>
      <c r="F15" s="0" t="s">
        <v>89</v>
      </c>
      <c r="G15" s="0" t="s">
        <v>90</v>
      </c>
      <c r="L15" s="7" t="s">
        <v>91</v>
      </c>
      <c r="M15" s="0" t="s">
        <v>49</v>
      </c>
      <c r="N15" s="5" t="s">
        <v>92</v>
      </c>
      <c r="P15" s="0" t="s">
        <v>51</v>
      </c>
      <c r="Q15" s="0" t="s">
        <v>52</v>
      </c>
      <c r="R15" s="0" t="s">
        <v>53</v>
      </c>
      <c r="U15" s="0" t="s">
        <v>93</v>
      </c>
      <c r="V15" s="0" t="s">
        <v>94</v>
      </c>
      <c r="X15" s="6" t="s">
        <v>56</v>
      </c>
      <c r="Y15" s="6"/>
      <c r="Z15" s="0" t="str">
        <f aca="false">_xlfn.CONCAT(U15,".",V15)</f>
        <v>Josef.Wilson</v>
      </c>
      <c r="AA15" s="0" t="str">
        <f aca="false">_xlfn.CONCAT(U15,".",V15,"@eegfaktura.at")</f>
        <v>Josef.Wilson@eegfaktura.at</v>
      </c>
      <c r="AC15" s="5" t="s">
        <v>95</v>
      </c>
      <c r="AD15" s="0" t="s">
        <v>60</v>
      </c>
      <c r="AE15" s="0" t="s">
        <v>61</v>
      </c>
      <c r="AF15" s="0" t="s">
        <v>62</v>
      </c>
    </row>
    <row r="16" customFormat="false" ht="12.8" hidden="false" customHeight="false" outlineLevel="0" collapsed="false">
      <c r="A16" s="0" t="s">
        <v>41</v>
      </c>
      <c r="B16" s="0" t="s">
        <v>42</v>
      </c>
      <c r="C16" s="0" t="s">
        <v>43</v>
      </c>
      <c r="D16" s="0" t="s">
        <v>44</v>
      </c>
      <c r="E16" s="0" t="s">
        <v>45</v>
      </c>
      <c r="F16" s="0" t="s">
        <v>96</v>
      </c>
      <c r="G16" s="0" t="s">
        <v>90</v>
      </c>
      <c r="L16" s="0" t="s">
        <v>97</v>
      </c>
      <c r="M16" s="0" t="s">
        <v>65</v>
      </c>
      <c r="N16" s="5" t="s">
        <v>98</v>
      </c>
      <c r="P16" s="0" t="s">
        <v>51</v>
      </c>
      <c r="Q16" s="0" t="s">
        <v>52</v>
      </c>
      <c r="R16" s="0" t="s">
        <v>53</v>
      </c>
      <c r="U16" s="0" t="s">
        <v>93</v>
      </c>
      <c r="V16" s="0" t="s">
        <v>94</v>
      </c>
      <c r="X16" s="6" t="s">
        <v>56</v>
      </c>
      <c r="Y16" s="6"/>
      <c r="Z16" s="0" t="str">
        <f aca="false">_xlfn.CONCAT(U16,".",V16)</f>
        <v>Josef.Wilson</v>
      </c>
      <c r="AA16" s="0" t="str">
        <f aca="false">_xlfn.CONCAT(U16,".",V16,"@eegfaktura.at")</f>
        <v>Josef.Wilson@eegfaktura.at</v>
      </c>
      <c r="AC16" s="5" t="s">
        <v>95</v>
      </c>
      <c r="AD16" s="0" t="s">
        <v>60</v>
      </c>
      <c r="AE16" s="0" t="s">
        <v>70</v>
      </c>
      <c r="AF16" s="0" t="s">
        <v>62</v>
      </c>
    </row>
    <row r="17" customFormat="false" ht="12.8" hidden="false" customHeight="false" outlineLevel="0" collapsed="false">
      <c r="A17" s="0" t="s">
        <v>41</v>
      </c>
      <c r="B17" s="0" t="s">
        <v>42</v>
      </c>
      <c r="C17" s="0" t="s">
        <v>43</v>
      </c>
      <c r="D17" s="0" t="s">
        <v>44</v>
      </c>
      <c r="E17" s="0" t="s">
        <v>45</v>
      </c>
      <c r="F17" s="0" t="s">
        <v>99</v>
      </c>
      <c r="G17" s="0" t="s">
        <v>100</v>
      </c>
      <c r="L17" s="0" t="s">
        <v>101</v>
      </c>
      <c r="M17" s="0" t="s">
        <v>65</v>
      </c>
      <c r="N17" s="5" t="s">
        <v>102</v>
      </c>
      <c r="P17" s="0" t="s">
        <v>51</v>
      </c>
      <c r="Q17" s="0" t="s">
        <v>52</v>
      </c>
      <c r="R17" s="0" t="s">
        <v>53</v>
      </c>
      <c r="U17" s="0" t="s">
        <v>103</v>
      </c>
      <c r="V17" s="0" t="s">
        <v>104</v>
      </c>
      <c r="X17" s="6" t="s">
        <v>56</v>
      </c>
      <c r="Y17" s="6"/>
      <c r="Z17" s="0" t="str">
        <f aca="false">_xlfn.CONCAT(U17,".",V17)</f>
        <v>Rosa.Crassus</v>
      </c>
      <c r="AA17" s="0" t="str">
        <f aca="false">_xlfn.CONCAT(U17,".",V17,"@eegfaktura.at")</f>
        <v>Rosa.Crassus@eegfaktura.at</v>
      </c>
      <c r="AB17" s="6" t="s">
        <v>105</v>
      </c>
      <c r="AC17" s="5" t="s">
        <v>106</v>
      </c>
      <c r="AD17" s="0" t="s">
        <v>107</v>
      </c>
      <c r="AF17" s="0" t="s">
        <v>62</v>
      </c>
    </row>
    <row r="18" customFormat="false" ht="13.8" hidden="false" customHeight="false" outlineLevel="0" collapsed="false">
      <c r="A18" s="0" t="s">
        <v>41</v>
      </c>
      <c r="B18" s="0" t="s">
        <v>42</v>
      </c>
      <c r="C18" s="0" t="s">
        <v>43</v>
      </c>
      <c r="D18" s="0" t="s">
        <v>44</v>
      </c>
      <c r="E18" s="0" t="s">
        <v>45</v>
      </c>
      <c r="F18" s="0" t="s">
        <v>99</v>
      </c>
      <c r="G18" s="0" t="s">
        <v>100</v>
      </c>
      <c r="L18" s="7" t="s">
        <v>108</v>
      </c>
      <c r="M18" s="0" t="s">
        <v>49</v>
      </c>
      <c r="N18" s="5" t="s">
        <v>109</v>
      </c>
      <c r="P18" s="0" t="s">
        <v>51</v>
      </c>
      <c r="Q18" s="0" t="s">
        <v>52</v>
      </c>
      <c r="R18" s="0" t="s">
        <v>53</v>
      </c>
      <c r="U18" s="0" t="s">
        <v>103</v>
      </c>
      <c r="V18" s="0" t="s">
        <v>104</v>
      </c>
      <c r="X18" s="6" t="s">
        <v>56</v>
      </c>
      <c r="Y18" s="6"/>
      <c r="Z18" s="0" t="str">
        <f aca="false">_xlfn.CONCAT(U18,".",V18)</f>
        <v>Rosa.Crassus</v>
      </c>
      <c r="AA18" s="0" t="str">
        <f aca="false">_xlfn.CONCAT(U18,".",V18,"@eegfaktura.at")</f>
        <v>Rosa.Crassus@eegfaktura.at</v>
      </c>
      <c r="AB18" s="6" t="s">
        <v>105</v>
      </c>
      <c r="AC18" s="5" t="s">
        <v>106</v>
      </c>
      <c r="AD18" s="0" t="s">
        <v>107</v>
      </c>
      <c r="AF18" s="0" t="s">
        <v>62</v>
      </c>
    </row>
    <row r="19" customFormat="false" ht="13.8" hidden="false" customHeight="false" outlineLevel="0" collapsed="false">
      <c r="A19" s="0" t="s">
        <v>41</v>
      </c>
      <c r="B19" s="0" t="s">
        <v>42</v>
      </c>
      <c r="C19" s="0" t="s">
        <v>43</v>
      </c>
      <c r="D19" s="0" t="s">
        <v>44</v>
      </c>
      <c r="E19" s="0" t="s">
        <v>45</v>
      </c>
      <c r="F19" s="0" t="s">
        <v>110</v>
      </c>
      <c r="G19" s="0" t="s">
        <v>111</v>
      </c>
      <c r="L19" s="7" t="s">
        <v>112</v>
      </c>
      <c r="M19" s="0" t="s">
        <v>65</v>
      </c>
      <c r="N19" s="5" t="s">
        <v>113</v>
      </c>
      <c r="P19" s="0" t="s">
        <v>51</v>
      </c>
      <c r="Q19" s="0" t="s">
        <v>52</v>
      </c>
      <c r="R19" s="0" t="s">
        <v>53</v>
      </c>
      <c r="U19" s="0" t="s">
        <v>114</v>
      </c>
      <c r="V19" s="0" t="s">
        <v>115</v>
      </c>
      <c r="X19" s="6" t="s">
        <v>56</v>
      </c>
      <c r="Y19" s="6"/>
      <c r="Z19" s="0" t="str">
        <f aca="false">_xlfn.CONCAT(U19,".",V19)</f>
        <v>Ronald.Hendrix</v>
      </c>
      <c r="AA19" s="0" t="str">
        <f aca="false">_xlfn.CONCAT(U19,".",V19,"@eegfaktura.at")</f>
        <v>Ronald.Hendrix@eegfaktura.at</v>
      </c>
      <c r="AC19" s="5" t="s">
        <v>116</v>
      </c>
      <c r="AD19" s="0" t="s">
        <v>107</v>
      </c>
      <c r="AF19" s="0" t="s">
        <v>62</v>
      </c>
    </row>
    <row r="20" customFormat="false" ht="13.8" hidden="false" customHeight="false" outlineLevel="0" collapsed="false">
      <c r="A20" s="0" t="s">
        <v>41</v>
      </c>
      <c r="B20" s="0" t="s">
        <v>42</v>
      </c>
      <c r="C20" s="0" t="s">
        <v>43</v>
      </c>
      <c r="D20" s="0" t="s">
        <v>44</v>
      </c>
      <c r="E20" s="0" t="s">
        <v>45</v>
      </c>
      <c r="F20" s="0" t="s">
        <v>110</v>
      </c>
      <c r="G20" s="0" t="s">
        <v>111</v>
      </c>
      <c r="L20" s="7" t="s">
        <v>117</v>
      </c>
      <c r="M20" s="0" t="s">
        <v>49</v>
      </c>
      <c r="N20" s="5" t="s">
        <v>118</v>
      </c>
      <c r="P20" s="0" t="s">
        <v>51</v>
      </c>
      <c r="Q20" s="0" t="s">
        <v>52</v>
      </c>
      <c r="R20" s="0" t="s">
        <v>53</v>
      </c>
      <c r="U20" s="0" t="s">
        <v>114</v>
      </c>
      <c r="V20" s="0" t="s">
        <v>115</v>
      </c>
      <c r="X20" s="6" t="s">
        <v>56</v>
      </c>
      <c r="Y20" s="6"/>
      <c r="Z20" s="0" t="str">
        <f aca="false">_xlfn.CONCAT(U20,".",V20)</f>
        <v>Ronald.Hendrix</v>
      </c>
      <c r="AA20" s="0" t="str">
        <f aca="false">_xlfn.CONCAT(U20,".",V20,"@eegfaktura.at")</f>
        <v>Ronald.Hendrix@eegfaktura.at</v>
      </c>
      <c r="AC20" s="5" t="s">
        <v>116</v>
      </c>
      <c r="AD20" s="0" t="s">
        <v>107</v>
      </c>
      <c r="AF20" s="0" t="s">
        <v>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83984375" defaultRowHeight="15" zeroHeight="false" outlineLevelRow="0" outlineLevelCol="0"/>
  <cols>
    <col collapsed="false" customWidth="true" hidden="false" outlineLevel="0" max="1" min="1" style="0" width="5.2"/>
    <col collapsed="false" customWidth="true" hidden="false" outlineLevel="0" max="2" min="2" style="0" width="5.04"/>
    <col collapsed="false" customWidth="true" hidden="false" outlineLevel="0" max="3" min="3" style="0" width="8.64"/>
    <col collapsed="false" customWidth="true" hidden="false" outlineLevel="0" max="4" min="4" style="0" width="16.6"/>
    <col collapsed="false" customWidth="true" hidden="false" outlineLevel="0" max="5" min="5" style="0" width="8.21"/>
    <col collapsed="false" customWidth="true" hidden="false" outlineLevel="0" max="6" min="6" style="0" width="7.41"/>
    <col collapsed="false" customWidth="true" hidden="false" outlineLevel="0" max="7" min="7" style="0" width="5.09"/>
    <col collapsed="false" customWidth="true" hidden="false" outlineLevel="0" max="8" min="8" style="0" width="15.88"/>
    <col collapsed="false" customWidth="true" hidden="false" outlineLevel="0" max="9" min="9" style="0" width="12.58"/>
    <col collapsed="false" customWidth="true" hidden="false" outlineLevel="0" max="10" min="10" style="0" width="12.1"/>
    <col collapsed="false" customWidth="true" hidden="false" outlineLevel="0" max="11" min="11" style="0" width="11.45"/>
    <col collapsed="false" customWidth="true" hidden="false" outlineLevel="0" max="12" min="12" style="0" width="9.81"/>
    <col collapsed="false" customWidth="true" hidden="false" outlineLevel="0" max="13" min="13" style="0" width="15.22"/>
  </cols>
  <sheetData>
    <row r="1" customFormat="false" ht="15" hidden="false" customHeight="false" outlineLevel="0" collapsed="false">
      <c r="A1" s="0" t="s">
        <v>12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119</v>
      </c>
      <c r="K1" s="0" t="s">
        <v>120</v>
      </c>
      <c r="L1" s="0" t="s">
        <v>121</v>
      </c>
      <c r="M1" s="0" t="s">
        <v>122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2023-08-10T15:48:49Z</dcterms:created>
  <dc:creator>Apache POI</dc:creator>
  <dc:description/>
  <dc:language>en-US</dc:language>
  <cp:lastModifiedBy/>
  <dcterms:modified xsi:type="dcterms:W3CDTF">2025-06-03T20:28:22Z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